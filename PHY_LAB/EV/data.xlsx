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6e3d2e4d0860ea1/FS26/LAB_TA/EV/"/>
    </mc:Choice>
  </mc:AlternateContent>
  <xr:revisionPtr revIDLastSave="287" documentId="8_{02951F9A-7090-47F3-B470-965645A9E9B3}" xr6:coauthVersionLast="47" xr6:coauthVersionMax="47" xr10:uidLastSave="{35032F7F-1A3B-45CA-9504-E9BA11CD49F7}"/>
  <bookViews>
    <workbookView xWindow="-108" yWindow="-108" windowWidth="23256" windowHeight="13896" xr2:uid="{52B4C567-4001-4332-8D7D-7515F2760B5E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5" i="1" l="1"/>
  <c r="D33" i="1"/>
  <c r="D34" i="1"/>
  <c r="D35" i="1" s="1"/>
  <c r="D37" i="1" s="1"/>
  <c r="F38" i="1" s="1"/>
  <c r="G4" i="2"/>
  <c r="B13" i="1"/>
  <c r="C12" i="1"/>
  <c r="B12" i="1"/>
  <c r="D76" i="1"/>
  <c r="F77" i="1" s="1"/>
  <c r="C21" i="1"/>
  <c r="B94" i="1"/>
  <c r="B93" i="1"/>
  <c r="H5" i="2"/>
  <c r="H6" i="2"/>
  <c r="H4" i="2"/>
  <c r="G5" i="2"/>
  <c r="G6" i="2"/>
  <c r="E4" i="2"/>
  <c r="E5" i="2"/>
  <c r="E6" i="2"/>
  <c r="D84" i="1"/>
  <c r="D83" i="1"/>
  <c r="D85" i="1" s="1"/>
  <c r="D82" i="1"/>
  <c r="D71" i="1"/>
  <c r="D70" i="1"/>
  <c r="D69" i="1"/>
  <c r="D58" i="1"/>
  <c r="D57" i="1"/>
  <c r="D56" i="1"/>
  <c r="D45" i="1"/>
  <c r="D44" i="1"/>
  <c r="D43" i="1"/>
  <c r="D38" i="1"/>
  <c r="D36" i="1"/>
  <c r="D31" i="1"/>
  <c r="D32" i="1"/>
  <c r="D30" i="1"/>
  <c r="E18" i="1"/>
  <c r="E19" i="1"/>
  <c r="E20" i="1"/>
  <c r="C20" i="1"/>
  <c r="C19" i="1"/>
  <c r="C18" i="1"/>
  <c r="E24" i="1"/>
  <c r="C24" i="1"/>
  <c r="B9" i="1"/>
  <c r="C9" i="1"/>
  <c r="D90" i="1" l="1"/>
  <c r="D86" i="1"/>
  <c r="D87" i="1" s="1"/>
  <c r="D88" i="1"/>
  <c r="D72" i="1"/>
  <c r="D59" i="1"/>
  <c r="D46" i="1"/>
  <c r="E21" i="1"/>
  <c r="E25" i="1" s="1"/>
  <c r="C13" i="1"/>
  <c r="C25" i="1"/>
  <c r="D89" i="1" l="1"/>
  <c r="F90" i="1" s="1"/>
  <c r="D75" i="1"/>
  <c r="D77" i="1"/>
  <c r="D73" i="1"/>
  <c r="D74" i="1" s="1"/>
  <c r="D62" i="1"/>
  <c r="D64" i="1"/>
  <c r="D60" i="1"/>
  <c r="D61" i="1" s="1"/>
  <c r="D49" i="1"/>
  <c r="D51" i="1"/>
  <c r="D47" i="1"/>
  <c r="D48" i="1" s="1"/>
  <c r="D63" i="1" l="1"/>
  <c r="F64" i="1" s="1"/>
  <c r="D50" i="1"/>
  <c r="F51" i="1" s="1"/>
  <c r="B92" i="1" l="1"/>
</calcChain>
</file>

<file path=xl/sharedStrings.xml><?xml version="1.0" encoding="utf-8"?>
<sst xmlns="http://schemas.openxmlformats.org/spreadsheetml/2006/main" count="159" uniqueCount="31">
  <si>
    <t>Messung Nr.</t>
  </si>
  <si>
    <t>Mech. Uhr</t>
  </si>
  <si>
    <t>Elektr. Uhr</t>
  </si>
  <si>
    <t>T</t>
  </si>
  <si>
    <t>mstat</t>
  </si>
  <si>
    <t>msys</t>
  </si>
  <si>
    <t>mT</t>
  </si>
  <si>
    <t>rT</t>
  </si>
  <si>
    <t>Zeitmessung für eine Schwingung</t>
  </si>
  <si>
    <t>Zeitmessung für 5 Schwingung</t>
  </si>
  <si>
    <t>5T</t>
  </si>
  <si>
    <t>X</t>
  </si>
  <si>
    <t>Längenabhänigkeit von T</t>
  </si>
  <si>
    <t>Pendellänge:</t>
  </si>
  <si>
    <t>66.5 cm</t>
  </si>
  <si>
    <t>Unsicherheit:</t>
  </si>
  <si>
    <t>0.1cm</t>
  </si>
  <si>
    <t>Länge l (m)</t>
  </si>
  <si>
    <t>T+-mT</t>
  </si>
  <si>
    <t>x</t>
  </si>
  <si>
    <t>Varianz</t>
  </si>
  <si>
    <t>+-</t>
  </si>
  <si>
    <t>Auswertung:</t>
  </si>
  <si>
    <t>m gesammt:</t>
  </si>
  <si>
    <t>mt mal partiel:</t>
  </si>
  <si>
    <t>ml mal partiel:</t>
  </si>
  <si>
    <t>g:</t>
  </si>
  <si>
    <t>Graph:</t>
  </si>
  <si>
    <t>T squared</t>
  </si>
  <si>
    <t>mt</t>
  </si>
  <si>
    <t>2Tmt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</si>
</sst>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0.12971391076115485"/>
                  <c:y val="0.4051126421697288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Tabelle2!$A$4:$A$6</c:f>
              <c:numCache>
                <c:formatCode>General</c:formatCode>
                <c:ptCount val="3"/>
                <c:pt idx="0">
                  <c:v>1.3026417770168901</c:v>
                </c:pt>
                <c:pt idx="1">
                  <c:v>1.57084444444444</c:v>
                </c:pt>
                <c:pt idx="2">
                  <c:v>2.0487151111111102</c:v>
                </c:pt>
              </c:numCache>
            </c:numRef>
          </c:xVal>
          <c:yVal>
            <c:numRef>
              <c:f>Tabelle2!$C$4:$C$6</c:f>
              <c:numCache>
                <c:formatCode>General</c:formatCode>
                <c:ptCount val="3"/>
                <c:pt idx="0">
                  <c:v>0.34499999999999997</c:v>
                </c:pt>
                <c:pt idx="1">
                  <c:v>0.39100000000000001</c:v>
                </c:pt>
                <c:pt idx="2">
                  <c:v>0.52400000000000002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BE-432B-A2CB-368C0702D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1976735"/>
        <c:axId val="2021975071"/>
      </c:scatterChart>
      <c:valAx>
        <c:axId val="2021976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T squared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21975071"/>
        <c:crosses val="autoZero"/>
        <c:crossBetween val="midCat"/>
      </c:valAx>
      <c:valAx>
        <c:axId val="202197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Länge l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21976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56531</xdr:colOff>
      <xdr:row>6</xdr:row>
      <xdr:rowOff>126845</xdr:rowOff>
    </xdr:from>
    <xdr:to>
      <xdr:col>6</xdr:col>
      <xdr:colOff>51885</xdr:colOff>
      <xdr:row>21</xdr:row>
      <xdr:rowOff>140319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8F32EC1D-E45B-4ACC-99C4-3DFECED7E4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C6F5A-8C73-4519-A12C-199818854E3D}">
  <dimension ref="A1:F95"/>
  <sheetViews>
    <sheetView tabSelected="1" zoomScale="162" workbookViewId="0">
      <selection activeCell="E13" sqref="E13"/>
    </sheetView>
  </sheetViews>
  <sheetFormatPr defaultColWidth="11.5546875" defaultRowHeight="14.4" x14ac:dyDescent="0.3"/>
  <cols>
    <col min="1" max="1" width="16" customWidth="1"/>
    <col min="4" max="4" width="10.6640625" customWidth="1"/>
  </cols>
  <sheetData>
    <row r="1" spans="1:6" x14ac:dyDescent="0.3">
      <c r="A1" t="s">
        <v>8</v>
      </c>
    </row>
    <row r="2" spans="1:6" x14ac:dyDescent="0.3">
      <c r="A2" t="s">
        <v>0</v>
      </c>
      <c r="B2" t="s">
        <v>1</v>
      </c>
      <c r="C2" t="s">
        <v>2</v>
      </c>
    </row>
    <row r="3" spans="1:6" x14ac:dyDescent="0.3">
      <c r="A3">
        <v>1</v>
      </c>
      <c r="B3">
        <v>1.2</v>
      </c>
      <c r="C3">
        <v>1.65</v>
      </c>
    </row>
    <row r="4" spans="1:6" x14ac:dyDescent="0.3">
      <c r="A4">
        <v>2</v>
      </c>
      <c r="B4">
        <v>1.35</v>
      </c>
      <c r="C4">
        <v>1.63</v>
      </c>
      <c r="E4" t="s">
        <v>13</v>
      </c>
      <c r="F4" t="s">
        <v>14</v>
      </c>
    </row>
    <row r="5" spans="1:6" x14ac:dyDescent="0.3">
      <c r="A5">
        <v>3</v>
      </c>
      <c r="B5">
        <v>1.25</v>
      </c>
      <c r="C5">
        <v>1.67</v>
      </c>
      <c r="E5" t="s">
        <v>15</v>
      </c>
      <c r="F5" t="s">
        <v>16</v>
      </c>
    </row>
    <row r="6" spans="1:6" x14ac:dyDescent="0.3">
      <c r="A6">
        <v>4</v>
      </c>
      <c r="B6">
        <v>1.3</v>
      </c>
      <c r="C6">
        <v>1.67</v>
      </c>
    </row>
    <row r="7" spans="1:6" x14ac:dyDescent="0.3">
      <c r="A7">
        <v>5</v>
      </c>
      <c r="B7">
        <v>1.25</v>
      </c>
      <c r="C7">
        <v>1.63</v>
      </c>
    </row>
    <row r="8" spans="1:6" x14ac:dyDescent="0.3">
      <c r="A8">
        <v>6</v>
      </c>
      <c r="B8">
        <v>1.25</v>
      </c>
      <c r="C8">
        <v>1.64</v>
      </c>
    </row>
    <row r="9" spans="1:6" x14ac:dyDescent="0.3">
      <c r="A9" t="s">
        <v>3</v>
      </c>
      <c r="B9">
        <f>SUM(B3:B8)/6</f>
        <v>1.2666666666666666</v>
      </c>
      <c r="C9">
        <f>SUM(C3:C8)/6</f>
        <v>1.6483333333333334</v>
      </c>
    </row>
    <row r="10" spans="1:6" x14ac:dyDescent="0.3">
      <c r="A10" t="s">
        <v>4</v>
      </c>
      <c r="B10">
        <v>1.0885999999999999E-3</v>
      </c>
      <c r="C10">
        <v>1.3740000000000001E-4</v>
      </c>
    </row>
    <row r="11" spans="1:6" x14ac:dyDescent="0.3">
      <c r="A11" t="s">
        <v>5</v>
      </c>
      <c r="B11">
        <v>0.2</v>
      </c>
      <c r="C11">
        <v>0.01</v>
      </c>
    </row>
    <row r="12" spans="1:6" x14ac:dyDescent="0.3">
      <c r="A12" t="s">
        <v>6</v>
      </c>
      <c r="B12">
        <f>SQRT(SUMSQ(B11)+SUMSQ(B10))</f>
        <v>0.2000029626029575</v>
      </c>
      <c r="C12">
        <f>SQRT(SUMSQ(C11)+SUMSQ(C10))</f>
        <v>1.0000943893453258E-2</v>
      </c>
    </row>
    <row r="13" spans="1:6" x14ac:dyDescent="0.3">
      <c r="A13" t="s">
        <v>7</v>
      </c>
      <c r="B13">
        <f>B12/B9</f>
        <v>0.15789707573917697</v>
      </c>
      <c r="C13">
        <f>C12/C9</f>
        <v>6.067306709880641E-3</v>
      </c>
    </row>
    <row r="16" spans="1:6" x14ac:dyDescent="0.3">
      <c r="A16" t="s">
        <v>9</v>
      </c>
    </row>
    <row r="17" spans="1:5" x14ac:dyDescent="0.3">
      <c r="A17" t="s">
        <v>0</v>
      </c>
      <c r="B17" t="s">
        <v>10</v>
      </c>
      <c r="C17" t="s">
        <v>1</v>
      </c>
      <c r="D17" t="s">
        <v>10</v>
      </c>
      <c r="E17" t="s">
        <v>2</v>
      </c>
    </row>
    <row r="18" spans="1:5" x14ac:dyDescent="0.3">
      <c r="A18">
        <v>1</v>
      </c>
      <c r="B18">
        <v>8.1</v>
      </c>
      <c r="C18">
        <f>B18/5</f>
        <v>1.6199999999999999</v>
      </c>
      <c r="D18">
        <v>8.31</v>
      </c>
      <c r="E18">
        <f>D18/5</f>
        <v>1.6620000000000001</v>
      </c>
    </row>
    <row r="19" spans="1:5" x14ac:dyDescent="0.3">
      <c r="A19">
        <v>2</v>
      </c>
      <c r="B19">
        <v>8.1999999999999993</v>
      </c>
      <c r="C19">
        <f>B19/5</f>
        <v>1.64</v>
      </c>
      <c r="D19">
        <v>8.33</v>
      </c>
      <c r="E19">
        <f>D19/5</f>
        <v>1.6659999999999999</v>
      </c>
    </row>
    <row r="20" spans="1:5" x14ac:dyDescent="0.3">
      <c r="A20">
        <v>3</v>
      </c>
      <c r="B20">
        <v>8.1999999999999993</v>
      </c>
      <c r="C20">
        <f>B20/5</f>
        <v>1.64</v>
      </c>
      <c r="D20">
        <v>8.34</v>
      </c>
      <c r="E20">
        <f>D20/5</f>
        <v>1.6679999999999999</v>
      </c>
    </row>
    <row r="21" spans="1:5" x14ac:dyDescent="0.3">
      <c r="A21" t="s">
        <v>3</v>
      </c>
      <c r="B21" t="s">
        <v>11</v>
      </c>
      <c r="C21">
        <f>SUM(C18:C20)/6</f>
        <v>0.81666666666666654</v>
      </c>
      <c r="D21" t="s">
        <v>11</v>
      </c>
      <c r="E21">
        <f>SUM(E18:E20)/6</f>
        <v>0.83266666666666678</v>
      </c>
    </row>
    <row r="22" spans="1:5" x14ac:dyDescent="0.3">
      <c r="A22" t="s">
        <v>4</v>
      </c>
      <c r="B22" t="s">
        <v>11</v>
      </c>
      <c r="C22">
        <v>1.3329999999999999E-4</v>
      </c>
      <c r="D22" t="s">
        <v>11</v>
      </c>
      <c r="E22">
        <v>9.3333000000000001E-7</v>
      </c>
    </row>
    <row r="23" spans="1:5" x14ac:dyDescent="0.3">
      <c r="A23" t="s">
        <v>5</v>
      </c>
      <c r="B23" t="s">
        <v>11</v>
      </c>
      <c r="C23">
        <v>0.2</v>
      </c>
      <c r="D23" t="s">
        <v>11</v>
      </c>
      <c r="E23">
        <v>0.01</v>
      </c>
    </row>
    <row r="24" spans="1:5" x14ac:dyDescent="0.3">
      <c r="A24" t="s">
        <v>6</v>
      </c>
      <c r="B24" t="s">
        <v>11</v>
      </c>
      <c r="C24">
        <f>SQRT(SUMSQ(C23)+SUMSQ(C22))</f>
        <v>0.20000004442222008</v>
      </c>
      <c r="D24" t="s">
        <v>11</v>
      </c>
      <c r="E24">
        <f>SQRT(SUMSQ(E23)+SUMSQ(E22))</f>
        <v>1.0000000043555245E-2</v>
      </c>
    </row>
    <row r="25" spans="1:5" x14ac:dyDescent="0.3">
      <c r="A25" t="s">
        <v>7</v>
      </c>
      <c r="B25" t="s">
        <v>11</v>
      </c>
      <c r="C25">
        <f>C24/C21</f>
        <v>0.24489801357822871</v>
      </c>
      <c r="D25" t="s">
        <v>11</v>
      </c>
      <c r="E25">
        <f>E24/E21</f>
        <v>1.2009607738457058E-2</v>
      </c>
    </row>
    <row r="28" spans="1:5" x14ac:dyDescent="0.3">
      <c r="A28" t="s">
        <v>12</v>
      </c>
    </row>
    <row r="29" spans="1:5" x14ac:dyDescent="0.3">
      <c r="B29" t="s">
        <v>17</v>
      </c>
      <c r="C29" t="s">
        <v>10</v>
      </c>
      <c r="D29" t="s">
        <v>3</v>
      </c>
    </row>
    <row r="30" spans="1:5" x14ac:dyDescent="0.3">
      <c r="A30">
        <v>1</v>
      </c>
      <c r="B30">
        <v>34.5</v>
      </c>
      <c r="C30">
        <v>5.78</v>
      </c>
      <c r="D30">
        <f>C30/5</f>
        <v>1.1560000000000001</v>
      </c>
    </row>
    <row r="31" spans="1:5" x14ac:dyDescent="0.3">
      <c r="A31">
        <v>2</v>
      </c>
      <c r="B31">
        <v>34.5</v>
      </c>
      <c r="C31">
        <v>5.9</v>
      </c>
      <c r="D31">
        <f t="shared" ref="D31:D32" si="0">C31/5</f>
        <v>1.1800000000000002</v>
      </c>
    </row>
    <row r="32" spans="1:5" x14ac:dyDescent="0.3">
      <c r="A32">
        <v>3</v>
      </c>
      <c r="B32">
        <v>34.5</v>
      </c>
      <c r="C32">
        <v>5.44</v>
      </c>
      <c r="D32">
        <f t="shared" si="0"/>
        <v>1.0880000000000001</v>
      </c>
    </row>
    <row r="33" spans="1:6" x14ac:dyDescent="0.3">
      <c r="A33" t="s">
        <v>3</v>
      </c>
      <c r="B33" t="s">
        <v>19</v>
      </c>
      <c r="C33" t="s">
        <v>19</v>
      </c>
      <c r="D33">
        <f>(D30+D31+D32)/3</f>
        <v>1.1413333333333335</v>
      </c>
    </row>
    <row r="34" spans="1:6" x14ac:dyDescent="0.3">
      <c r="A34" t="s">
        <v>20</v>
      </c>
      <c r="B34" t="s">
        <v>19</v>
      </c>
      <c r="C34" t="s">
        <v>19</v>
      </c>
      <c r="D34">
        <f>SQRT((SUMSQ(D30-D33)+SUMSQ(D31-D33)+SUMSQ(D32-D33))/2)</f>
        <v>4.7721413781795459E-2</v>
      </c>
    </row>
    <row r="35" spans="1:6" x14ac:dyDescent="0.3">
      <c r="A35" t="s">
        <v>4</v>
      </c>
      <c r="B35" t="s">
        <v>19</v>
      </c>
      <c r="C35" t="s">
        <v>19</v>
      </c>
      <c r="D35">
        <f>D34/SQRT(3)</f>
        <v>2.7551971093029128E-2</v>
      </c>
    </row>
    <row r="36" spans="1:6" x14ac:dyDescent="0.3">
      <c r="A36" t="s">
        <v>5</v>
      </c>
      <c r="B36" t="s">
        <v>19</v>
      </c>
      <c r="C36" t="s">
        <v>19</v>
      </c>
      <c r="D36">
        <f>SQRT(SUMSQ(0.01)+SUMSQ(0.000004*D33))</f>
        <v>1.0000001042113368E-2</v>
      </c>
    </row>
    <row r="37" spans="1:6" x14ac:dyDescent="0.3">
      <c r="A37" t="s">
        <v>6</v>
      </c>
      <c r="B37" t="s">
        <v>19</v>
      </c>
      <c r="C37" t="s">
        <v>19</v>
      </c>
      <c r="D37">
        <f>SQRT(SUMSQ(D35)+SUMSQ(D36))</f>
        <v>2.9310597604849019E-2</v>
      </c>
    </row>
    <row r="38" spans="1:6" x14ac:dyDescent="0.3">
      <c r="A38" t="s">
        <v>18</v>
      </c>
      <c r="B38" t="s">
        <v>19</v>
      </c>
      <c r="C38" t="s">
        <v>19</v>
      </c>
      <c r="D38">
        <f>D33</f>
        <v>1.1413333333333335</v>
      </c>
      <c r="E38" s="1" t="s">
        <v>21</v>
      </c>
      <c r="F38">
        <f>D37</f>
        <v>2.9310597604849019E-2</v>
      </c>
    </row>
    <row r="41" spans="1:6" x14ac:dyDescent="0.3">
      <c r="A41" t="s">
        <v>12</v>
      </c>
    </row>
    <row r="42" spans="1:6" x14ac:dyDescent="0.3">
      <c r="B42" t="s">
        <v>17</v>
      </c>
      <c r="C42" t="s">
        <v>10</v>
      </c>
      <c r="D42" t="s">
        <v>3</v>
      </c>
    </row>
    <row r="43" spans="1:6" x14ac:dyDescent="0.3">
      <c r="A43">
        <v>1</v>
      </c>
      <c r="B43">
        <v>39.1</v>
      </c>
      <c r="C43">
        <v>6.15</v>
      </c>
      <c r="D43">
        <f>C43/5</f>
        <v>1.23</v>
      </c>
    </row>
    <row r="44" spans="1:6" x14ac:dyDescent="0.3">
      <c r="A44">
        <v>2</v>
      </c>
      <c r="B44">
        <v>39.1</v>
      </c>
      <c r="C44">
        <v>6.42</v>
      </c>
      <c r="D44">
        <f t="shared" ref="D44:D45" si="1">C44/5</f>
        <v>1.284</v>
      </c>
    </row>
    <row r="45" spans="1:6" x14ac:dyDescent="0.3">
      <c r="A45">
        <v>3</v>
      </c>
      <c r="B45">
        <v>39.1</v>
      </c>
      <c r="C45">
        <v>6.23</v>
      </c>
      <c r="D45">
        <f t="shared" si="1"/>
        <v>1.246</v>
      </c>
    </row>
    <row r="46" spans="1:6" x14ac:dyDescent="0.3">
      <c r="A46" t="s">
        <v>3</v>
      </c>
      <c r="B46" t="s">
        <v>19</v>
      </c>
      <c r="C46" t="s">
        <v>19</v>
      </c>
      <c r="D46">
        <f>(D43+D44+D45)/3</f>
        <v>1.2533333333333334</v>
      </c>
    </row>
    <row r="47" spans="1:6" x14ac:dyDescent="0.3">
      <c r="A47" t="s">
        <v>20</v>
      </c>
      <c r="B47" t="s">
        <v>19</v>
      </c>
      <c r="C47" t="s">
        <v>19</v>
      </c>
      <c r="D47">
        <f>SQRT((SUMSQ(D43-D46)+SUMSQ(D44-D46)+SUMSQ(D45-D46))/2)</f>
        <v>2.7736858750286319E-2</v>
      </c>
    </row>
    <row r="48" spans="1:6" x14ac:dyDescent="0.3">
      <c r="A48" t="s">
        <v>4</v>
      </c>
      <c r="B48" t="s">
        <v>19</v>
      </c>
      <c r="C48" t="s">
        <v>19</v>
      </c>
      <c r="D48">
        <f>D47/SQRT(3)</f>
        <v>1.6013882865952435E-2</v>
      </c>
    </row>
    <row r="49" spans="1:6" x14ac:dyDescent="0.3">
      <c r="A49" t="s">
        <v>5</v>
      </c>
      <c r="B49" t="s">
        <v>19</v>
      </c>
      <c r="C49" t="s">
        <v>19</v>
      </c>
      <c r="D49">
        <f>SQRT(SUMSQ(0.01)+SUMSQ(0.000004*D46))</f>
        <v>1.0000001256675477E-2</v>
      </c>
    </row>
    <row r="50" spans="1:6" x14ac:dyDescent="0.3">
      <c r="A50" t="s">
        <v>6</v>
      </c>
      <c r="B50" t="s">
        <v>19</v>
      </c>
      <c r="C50" t="s">
        <v>19</v>
      </c>
      <c r="D50">
        <f>SQRT(SUMSQ(D48)+SUMSQ(D49))</f>
        <v>1.887973701029641E-2</v>
      </c>
    </row>
    <row r="51" spans="1:6" x14ac:dyDescent="0.3">
      <c r="A51" t="s">
        <v>18</v>
      </c>
      <c r="B51" t="s">
        <v>19</v>
      </c>
      <c r="C51" t="s">
        <v>19</v>
      </c>
      <c r="D51">
        <f>D46</f>
        <v>1.2533333333333334</v>
      </c>
      <c r="E51" s="1" t="s">
        <v>21</v>
      </c>
      <c r="F51">
        <f>D50</f>
        <v>1.887973701029641E-2</v>
      </c>
    </row>
    <row r="54" spans="1:6" x14ac:dyDescent="0.3">
      <c r="A54" t="s">
        <v>12</v>
      </c>
    </row>
    <row r="55" spans="1:6" x14ac:dyDescent="0.3">
      <c r="B55" t="s">
        <v>17</v>
      </c>
      <c r="C55" t="s">
        <v>10</v>
      </c>
      <c r="D55" t="s">
        <v>3</v>
      </c>
    </row>
    <row r="56" spans="1:6" x14ac:dyDescent="0.3">
      <c r="A56">
        <v>1</v>
      </c>
      <c r="B56">
        <v>32.5</v>
      </c>
      <c r="C56">
        <v>4.66</v>
      </c>
      <c r="D56">
        <f>C56/5</f>
        <v>0.93200000000000005</v>
      </c>
    </row>
    <row r="57" spans="1:6" x14ac:dyDescent="0.3">
      <c r="A57">
        <v>2</v>
      </c>
      <c r="B57">
        <v>32.5</v>
      </c>
      <c r="C57">
        <v>4.76</v>
      </c>
      <c r="D57">
        <f t="shared" ref="D57:D58" si="2">C57/5</f>
        <v>0.95199999999999996</v>
      </c>
    </row>
    <row r="58" spans="1:6" x14ac:dyDescent="0.3">
      <c r="A58">
        <v>3</v>
      </c>
      <c r="B58">
        <v>32.5</v>
      </c>
      <c r="C58">
        <v>4.7</v>
      </c>
      <c r="D58">
        <f t="shared" si="2"/>
        <v>0.94000000000000006</v>
      </c>
    </row>
    <row r="59" spans="1:6" x14ac:dyDescent="0.3">
      <c r="A59" t="s">
        <v>3</v>
      </c>
      <c r="B59" t="s">
        <v>19</v>
      </c>
      <c r="C59" t="s">
        <v>19</v>
      </c>
      <c r="D59">
        <f>(D56+D57+D58)/3</f>
        <v>0.94133333333333324</v>
      </c>
    </row>
    <row r="60" spans="1:6" x14ac:dyDescent="0.3">
      <c r="A60" t="s">
        <v>20</v>
      </c>
      <c r="B60" t="s">
        <v>19</v>
      </c>
      <c r="C60" t="s">
        <v>19</v>
      </c>
      <c r="D60">
        <f>SQRT((SUMSQ(D56-D59)+SUMSQ(D57-D59)+SUMSQ(D58-D59))/2)</f>
        <v>1.0066445913694284E-2</v>
      </c>
    </row>
    <row r="61" spans="1:6" x14ac:dyDescent="0.3">
      <c r="A61" t="s">
        <v>4</v>
      </c>
      <c r="B61" t="s">
        <v>19</v>
      </c>
      <c r="C61" t="s">
        <v>19</v>
      </c>
      <c r="D61">
        <f>D60/SQRT(3)</f>
        <v>5.8118652580542033E-3</v>
      </c>
    </row>
    <row r="62" spans="1:6" x14ac:dyDescent="0.3">
      <c r="A62" t="s">
        <v>5</v>
      </c>
      <c r="B62" t="s">
        <v>19</v>
      </c>
      <c r="C62" t="s">
        <v>19</v>
      </c>
      <c r="D62">
        <f>SQRT(SUMSQ(0.01)+SUMSQ(0.000004*D59))</f>
        <v>1.0000000708886731E-2</v>
      </c>
    </row>
    <row r="63" spans="1:6" x14ac:dyDescent="0.3">
      <c r="A63" t="s">
        <v>6</v>
      </c>
      <c r="B63" t="s">
        <v>19</v>
      </c>
      <c r="C63" t="s">
        <v>19</v>
      </c>
      <c r="D63">
        <f>SQRT(SUMSQ(D61)+SUMSQ(D62))</f>
        <v>1.1566234994824919E-2</v>
      </c>
    </row>
    <row r="64" spans="1:6" x14ac:dyDescent="0.3">
      <c r="A64" t="s">
        <v>18</v>
      </c>
      <c r="B64" t="s">
        <v>19</v>
      </c>
      <c r="C64" t="s">
        <v>19</v>
      </c>
      <c r="D64">
        <f>D59</f>
        <v>0.94133333333333324</v>
      </c>
      <c r="E64" s="1" t="s">
        <v>21</v>
      </c>
      <c r="F64">
        <f>D63</f>
        <v>1.1566234994824919E-2</v>
      </c>
    </row>
    <row r="67" spans="1:6" x14ac:dyDescent="0.3">
      <c r="A67" t="s">
        <v>12</v>
      </c>
    </row>
    <row r="68" spans="1:6" x14ac:dyDescent="0.3">
      <c r="B68" t="s">
        <v>17</v>
      </c>
      <c r="C68" t="s">
        <v>10</v>
      </c>
      <c r="D68" t="s">
        <v>3</v>
      </c>
    </row>
    <row r="69" spans="1:6" x14ac:dyDescent="0.3">
      <c r="A69">
        <v>1</v>
      </c>
      <c r="B69">
        <v>52.4</v>
      </c>
      <c r="C69">
        <v>7.1</v>
      </c>
      <c r="D69">
        <f>C69/5</f>
        <v>1.42</v>
      </c>
    </row>
    <row r="70" spans="1:6" x14ac:dyDescent="0.3">
      <c r="A70">
        <v>2</v>
      </c>
      <c r="B70">
        <v>52.4</v>
      </c>
      <c r="C70">
        <v>7.21</v>
      </c>
      <c r="D70">
        <f t="shared" ref="D70:D71" si="3">C70/5</f>
        <v>1.4419999999999999</v>
      </c>
    </row>
    <row r="71" spans="1:6" x14ac:dyDescent="0.3">
      <c r="A71">
        <v>3</v>
      </c>
      <c r="B71">
        <v>52.4</v>
      </c>
      <c r="C71">
        <v>7.16</v>
      </c>
      <c r="D71">
        <f t="shared" si="3"/>
        <v>1.4319999999999999</v>
      </c>
    </row>
    <row r="72" spans="1:6" x14ac:dyDescent="0.3">
      <c r="A72" t="s">
        <v>3</v>
      </c>
      <c r="B72" t="s">
        <v>19</v>
      </c>
      <c r="C72" t="s">
        <v>11</v>
      </c>
      <c r="D72">
        <f>(D69+D70+D71)/3</f>
        <v>1.4313333333333336</v>
      </c>
    </row>
    <row r="73" spans="1:6" x14ac:dyDescent="0.3">
      <c r="A73" t="s">
        <v>20</v>
      </c>
      <c r="B73" t="s">
        <v>19</v>
      </c>
      <c r="C73" t="s">
        <v>19</v>
      </c>
      <c r="D73">
        <f>SQRT((SUMSQ(D69-D72)+SUMSQ(D70-D72)+SUMSQ(D71-D72))/2)</f>
        <v>1.1015141094572214E-2</v>
      </c>
    </row>
    <row r="74" spans="1:6" x14ac:dyDescent="0.3">
      <c r="A74" t="s">
        <v>4</v>
      </c>
      <c r="B74" t="s">
        <v>19</v>
      </c>
      <c r="C74" t="s">
        <v>19</v>
      </c>
      <c r="D74">
        <f>D73/SQRT(3)</f>
        <v>6.3595946761129769E-3</v>
      </c>
    </row>
    <row r="75" spans="1:6" x14ac:dyDescent="0.3">
      <c r="A75" t="s">
        <v>5</v>
      </c>
      <c r="B75" t="s">
        <v>19</v>
      </c>
      <c r="C75" t="s">
        <v>19</v>
      </c>
      <c r="D75">
        <f>SQRT(SUMSQ(0.01)+SUMSQ(0.000004*D72))</f>
        <v>1.0000001638971955E-2</v>
      </c>
    </row>
    <row r="76" spans="1:6" x14ac:dyDescent="0.3">
      <c r="A76" t="s">
        <v>6</v>
      </c>
      <c r="B76" t="s">
        <v>19</v>
      </c>
      <c r="C76" t="s">
        <v>19</v>
      </c>
      <c r="D76">
        <f>SQRT(SUMSQ(D74)+SUMSQ(D75))</f>
        <v>1.1850927272744793E-2</v>
      </c>
    </row>
    <row r="77" spans="1:6" x14ac:dyDescent="0.3">
      <c r="A77" t="s">
        <v>18</v>
      </c>
      <c r="B77" t="s">
        <v>19</v>
      </c>
      <c r="C77" t="s">
        <v>19</v>
      </c>
      <c r="D77">
        <f>D72</f>
        <v>1.4313333333333336</v>
      </c>
      <c r="E77" s="1" t="s">
        <v>21</v>
      </c>
      <c r="F77">
        <f>D76</f>
        <v>1.1850927272744793E-2</v>
      </c>
    </row>
    <row r="80" spans="1:6" x14ac:dyDescent="0.3">
      <c r="A80" t="s">
        <v>22</v>
      </c>
    </row>
    <row r="81" spans="1:6" x14ac:dyDescent="0.3">
      <c r="B81" t="s">
        <v>17</v>
      </c>
      <c r="C81" t="s">
        <v>10</v>
      </c>
      <c r="D81" t="s">
        <v>3</v>
      </c>
    </row>
    <row r="82" spans="1:6" x14ac:dyDescent="0.3">
      <c r="A82">
        <v>1</v>
      </c>
      <c r="B82">
        <v>0.39100000000000001</v>
      </c>
      <c r="C82">
        <v>6.15</v>
      </c>
      <c r="D82">
        <f>C82/5</f>
        <v>1.23</v>
      </c>
    </row>
    <row r="83" spans="1:6" x14ac:dyDescent="0.3">
      <c r="A83">
        <v>2</v>
      </c>
      <c r="B83">
        <v>0.39100000000000001</v>
      </c>
      <c r="C83">
        <v>6.42</v>
      </c>
      <c r="D83">
        <f t="shared" ref="D83:D84" si="4">C83/5</f>
        <v>1.284</v>
      </c>
    </row>
    <row r="84" spans="1:6" x14ac:dyDescent="0.3">
      <c r="A84">
        <v>3</v>
      </c>
      <c r="B84">
        <v>0.39100000000000001</v>
      </c>
      <c r="C84">
        <v>6.23</v>
      </c>
      <c r="D84">
        <f t="shared" si="4"/>
        <v>1.246</v>
      </c>
    </row>
    <row r="85" spans="1:6" x14ac:dyDescent="0.3">
      <c r="A85" t="s">
        <v>3</v>
      </c>
      <c r="B85" t="s">
        <v>19</v>
      </c>
      <c r="C85" t="s">
        <v>19</v>
      </c>
      <c r="D85">
        <f>(D82+D83+D84)/3</f>
        <v>1.2533333333333334</v>
      </c>
    </row>
    <row r="86" spans="1:6" x14ac:dyDescent="0.3">
      <c r="A86" t="s">
        <v>20</v>
      </c>
      <c r="B86" t="s">
        <v>19</v>
      </c>
      <c r="C86" t="s">
        <v>19</v>
      </c>
      <c r="D86">
        <f>SQRT((SUMSQ(D82-D85)+SUMSQ(D83-D85)+SUMSQ(D84-D85))/2)</f>
        <v>2.7736858750286319E-2</v>
      </c>
    </row>
    <row r="87" spans="1:6" x14ac:dyDescent="0.3">
      <c r="A87" t="s">
        <v>4</v>
      </c>
      <c r="B87" t="s">
        <v>19</v>
      </c>
      <c r="C87" t="s">
        <v>19</v>
      </c>
      <c r="D87">
        <f>D86/SQRT(3)</f>
        <v>1.6013882865952435E-2</v>
      </c>
    </row>
    <row r="88" spans="1:6" x14ac:dyDescent="0.3">
      <c r="A88" t="s">
        <v>5</v>
      </c>
      <c r="B88" t="s">
        <v>19</v>
      </c>
      <c r="C88" t="s">
        <v>19</v>
      </c>
      <c r="D88">
        <f>SQRT(SUMSQ(0.01)+SUMSQ(0.000004*D85))</f>
        <v>1.0000001256675477E-2</v>
      </c>
    </row>
    <row r="89" spans="1:6" x14ac:dyDescent="0.3">
      <c r="A89" t="s">
        <v>6</v>
      </c>
      <c r="B89" t="s">
        <v>19</v>
      </c>
      <c r="C89" t="s">
        <v>19</v>
      </c>
      <c r="D89">
        <f>SQRT(SUMSQ(D87)+SUMSQ(D88))</f>
        <v>1.887973701029641E-2</v>
      </c>
    </row>
    <row r="90" spans="1:6" x14ac:dyDescent="0.3">
      <c r="A90" t="s">
        <v>18</v>
      </c>
      <c r="B90" t="s">
        <v>19</v>
      </c>
      <c r="C90" t="s">
        <v>19</v>
      </c>
      <c r="D90">
        <f>D85</f>
        <v>1.2533333333333334</v>
      </c>
      <c r="E90" s="1" t="s">
        <v>21</v>
      </c>
      <c r="F90">
        <f>D89</f>
        <v>1.887973701029641E-2</v>
      </c>
    </row>
    <row r="92" spans="1:6" x14ac:dyDescent="0.3">
      <c r="A92" t="s">
        <v>24</v>
      </c>
      <c r="B92">
        <f>SUMSQ((D89*-78.95683521*B82)/(D85*D85*D85))</f>
        <v>8.7644631444731044E-2</v>
      </c>
    </row>
    <row r="93" spans="1:6" x14ac:dyDescent="0.3">
      <c r="A93" t="s">
        <v>25</v>
      </c>
      <c r="B93">
        <f>(39.4784176/(SUMSQ(D85))*0.01)</f>
        <v>0.25131971367134448</v>
      </c>
    </row>
    <row r="94" spans="1:6" x14ac:dyDescent="0.3">
      <c r="A94" t="s">
        <v>23</v>
      </c>
      <c r="B94">
        <f>SQRT(B92+B93)</f>
        <v>0.58220644544360345</v>
      </c>
    </row>
    <row r="95" spans="1:6" x14ac:dyDescent="0.3">
      <c r="A95" t="s">
        <v>26</v>
      </c>
      <c r="B95">
        <f>39.4784176*B82/(SUMSQ(D85))</f>
        <v>9.8266008045495692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318A4-B0AC-478B-A98A-A48E3462BB05}">
  <dimension ref="A1:H6"/>
  <sheetViews>
    <sheetView zoomScale="159" workbookViewId="0">
      <selection activeCell="H11" sqref="H11"/>
    </sheetView>
  </sheetViews>
  <sheetFormatPr defaultColWidth="11.5546875" defaultRowHeight="14.4" x14ac:dyDescent="0.3"/>
  <sheetData>
    <row r="1" spans="1:8" x14ac:dyDescent="0.3">
      <c r="A1" t="s">
        <v>27</v>
      </c>
    </row>
    <row r="3" spans="1:8" x14ac:dyDescent="0.3">
      <c r="A3" t="s">
        <v>28</v>
      </c>
      <c r="B3" t="s">
        <v>3</v>
      </c>
      <c r="C3" t="s">
        <v>17</v>
      </c>
      <c r="D3" t="s">
        <v>29</v>
      </c>
      <c r="E3" t="s">
        <v>30</v>
      </c>
    </row>
    <row r="4" spans="1:8" x14ac:dyDescent="0.3">
      <c r="A4">
        <v>1.3026417770168901</v>
      </c>
      <c r="B4">
        <v>1.1413333329999999</v>
      </c>
      <c r="C4">
        <v>0.34499999999999997</v>
      </c>
      <c r="D4">
        <v>2.9310597604849001E-2</v>
      </c>
      <c r="E4">
        <f>2*B4*D4</f>
        <v>6.6906324113128246E-2</v>
      </c>
      <c r="G4">
        <f>C4-0.01</f>
        <v>0.33499999999999996</v>
      </c>
      <c r="H4">
        <f>C4+0.01</f>
        <v>0.35499999999999998</v>
      </c>
    </row>
    <row r="5" spans="1:8" x14ac:dyDescent="0.3">
      <c r="A5">
        <v>1.57084444444444</v>
      </c>
      <c r="B5">
        <v>1.2533333333333334</v>
      </c>
      <c r="C5">
        <v>0.39100000000000001</v>
      </c>
      <c r="D5">
        <v>1.88797370102964E-2</v>
      </c>
      <c r="E5">
        <f t="shared" ref="E5:E6" si="0">2*B5*D5</f>
        <v>4.732520743914298E-2</v>
      </c>
      <c r="G5">
        <f t="shared" ref="G5:G6" si="1">C5-0.01</f>
        <v>0.38100000000000001</v>
      </c>
      <c r="H5">
        <f t="shared" ref="H5:H6" si="2">C5+0.01</f>
        <v>0.40100000000000002</v>
      </c>
    </row>
    <row r="6" spans="1:8" x14ac:dyDescent="0.3">
      <c r="A6">
        <v>2.0487151111111102</v>
      </c>
      <c r="B6">
        <v>1.4313333333333336</v>
      </c>
      <c r="C6">
        <v>0.52400000000000002</v>
      </c>
      <c r="D6">
        <v>1.18509272727448E-2</v>
      </c>
      <c r="E6">
        <f t="shared" si="0"/>
        <v>3.3925254472777451E-2</v>
      </c>
      <c r="G6">
        <f t="shared" si="1"/>
        <v>0.51400000000000001</v>
      </c>
      <c r="H6">
        <f t="shared" si="2"/>
        <v>0.53400000000000003</v>
      </c>
    </row>
  </sheetData>
  <sortState xmlns:xlrd2="http://schemas.microsoft.com/office/spreadsheetml/2017/richdata2" ref="A3:B6">
    <sortCondition ref="A2:A6"/>
  </sortState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Baumgartner</dc:creator>
  <cp:lastModifiedBy>Mario Baumgartner</cp:lastModifiedBy>
  <dcterms:created xsi:type="dcterms:W3CDTF">2021-10-20T12:57:07Z</dcterms:created>
  <dcterms:modified xsi:type="dcterms:W3CDTF">2026-03-04T10:22:26Z</dcterms:modified>
</cp:coreProperties>
</file>